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aman\Downloads\"/>
    </mc:Choice>
  </mc:AlternateContent>
  <xr:revisionPtr revIDLastSave="0" documentId="13_ncr:1_{4D37ADF9-97B8-4952-91EB-B90803EF46EB}" xr6:coauthVersionLast="47" xr6:coauthVersionMax="47" xr10:uidLastSave="{00000000-0000-0000-0000-000000000000}"/>
  <bookViews>
    <workbookView xWindow="-98" yWindow="-98" windowWidth="21795" windowHeight="12975" tabRatio="604"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1" i="17"/>
  <c r="N16" i="17"/>
  <c r="N51" i="17"/>
  <c r="N81" i="17"/>
  <c r="N121" i="17"/>
  <c r="N161" i="17"/>
  <c r="N193" i="17"/>
  <c r="N231" i="17"/>
  <c r="N269" i="17"/>
  <c r="N298" i="17"/>
  <c r="N335" i="17"/>
  <c r="N363" i="17"/>
  <c r="N396" i="17"/>
  <c r="N424" i="17"/>
  <c r="N484" i="17"/>
  <c r="N510" i="17"/>
  <c r="N541" i="17"/>
  <c r="N568" i="17"/>
  <c r="N594" i="17"/>
  <c r="N625" i="17"/>
  <c r="N650" i="17"/>
  <c r="N675" i="17"/>
  <c r="N700" i="17"/>
  <c r="N825" i="17"/>
  <c r="M11" i="17"/>
  <c r="M16" i="17"/>
  <c r="M33" i="17"/>
  <c r="M36" i="17"/>
  <c r="M55" i="17"/>
  <c r="M77" i="17"/>
  <c r="M80" i="17"/>
  <c r="M121" i="17"/>
  <c r="M166" i="17"/>
  <c r="M211" i="17"/>
  <c r="M233" i="17"/>
  <c r="M255" i="17"/>
  <c r="M277" i="17"/>
  <c r="M321" i="17"/>
  <c r="M366" i="17"/>
  <c r="M388" i="17"/>
  <c r="M410" i="17"/>
  <c r="M432" i="17"/>
  <c r="M476" i="17"/>
  <c r="M498" i="17"/>
  <c r="M520" i="17"/>
  <c r="M541" i="17"/>
  <c r="M543" i="17"/>
  <c r="M565" i="17"/>
  <c r="M586" i="17"/>
  <c r="M587" i="17"/>
  <c r="M610" i="17"/>
  <c r="M631" i="17"/>
  <c r="M632" i="17"/>
  <c r="M675" i="17"/>
  <c r="M676" i="17"/>
  <c r="M696" i="17"/>
  <c r="M697" i="17"/>
  <c r="M717" i="17"/>
  <c r="M760" i="17"/>
  <c r="M780" i="17"/>
  <c r="M800" i="17"/>
  <c r="M820" i="17"/>
  <c r="M840" i="17"/>
  <c r="M860" i="17"/>
  <c r="M880" i="17"/>
  <c r="M900" i="17"/>
  <c r="M920" i="17"/>
  <c r="M940" i="17"/>
  <c r="M960" i="17"/>
  <c r="M980" i="17"/>
  <c r="M1000"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J11" i="17"/>
  <c r="O11" i="17" s="1"/>
  <c r="K11" i="17"/>
  <c r="L11" i="17"/>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J16" i="17"/>
  <c r="O16" i="17" s="1"/>
  <c r="K16" i="17"/>
  <c r="L16" i="17"/>
  <c r="I17" i="17"/>
  <c r="N17" i="17" s="1"/>
  <c r="J17" i="17"/>
  <c r="O17" i="17" s="1"/>
  <c r="K17" i="17"/>
  <c r="L17" i="17"/>
  <c r="M17" i="17" s="1"/>
  <c r="I18" i="17"/>
  <c r="N18" i="17" s="1"/>
  <c r="J18" i="17"/>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M79" i="17" s="1"/>
  <c r="I80" i="17"/>
  <c r="N80" i="17" s="1"/>
  <c r="J80" i="17"/>
  <c r="O80" i="17" s="1"/>
  <c r="K80" i="17"/>
  <c r="L80" i="17"/>
  <c r="I81" i="17"/>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J231" i="17"/>
  <c r="O231" i="17" s="1"/>
  <c r="K231" i="17"/>
  <c r="L231" i="17"/>
  <c r="M231" i="17" s="1"/>
  <c r="I232" i="17"/>
  <c r="N232" i="17" s="1"/>
  <c r="J232" i="17"/>
  <c r="O232" i="17" s="1"/>
  <c r="K232" i="17"/>
  <c r="L232" i="17"/>
  <c r="M232" i="17" s="1"/>
  <c r="I233" i="17"/>
  <c r="N233" i="17" s="1"/>
  <c r="J233" i="17"/>
  <c r="O233" i="17" s="1"/>
  <c r="K233" i="17"/>
  <c r="L233" i="17"/>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J541" i="17"/>
  <c r="O541" i="17" s="1"/>
  <c r="K541" i="17"/>
  <c r="L541" i="17"/>
  <c r="I542" i="17"/>
  <c r="N542" i="17" s="1"/>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I587" i="17"/>
  <c r="N587" i="17" s="1"/>
  <c r="J587" i="17"/>
  <c r="O587" i="17" s="1"/>
  <c r="K587" i="17"/>
  <c r="L587" i="17"/>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I632" i="17"/>
  <c r="N632" i="17" s="1"/>
  <c r="J632" i="17"/>
  <c r="O632" i="17" s="1"/>
  <c r="K632" i="17"/>
  <c r="L632" i="17"/>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J675" i="17"/>
  <c r="O675" i="17" s="1"/>
  <c r="K675" i="17"/>
  <c r="L675" i="17"/>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M1001" i="17" s="1"/>
  <c r="I2" i="17"/>
  <c r="N2" i="17" s="1"/>
  <c r="K2" i="17"/>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O18" i="17" l="1"/>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<sst xmlns="http://schemas.openxmlformats.org/spreadsheetml/2006/main" count="11136" uniqueCount="6226">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</sst>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6" formatCode="dd/mmm/yyyy"/>
    <numFmt numFmtId="167"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37" fontId="0" fillId="0" borderId="0" xfId="0" applyNumberFormat="1"/>
    <xf numFmtId="5" fontId="0" fillId="0" borderId="0" xfId="0" applyNumberFormat="1"/>
  </cellXfs>
  <cellStyles count="2">
    <cellStyle name="Currency" xfId="1" builtinId="4"/>
    <cellStyle name="Normal" xfId="0" builtinId="0"/>
  </cellStyles>
  <dxfs count="16">
    <dxf>
      <font>
        <b/>
        <i val="0"/>
        <color theme="0"/>
        <name val="Calibri"/>
        <family val="2"/>
        <scheme val="minor"/>
      </font>
    </dxf>
    <dxf>
      <font>
        <b val="0"/>
        <i val="0"/>
        <color theme="0"/>
        <name val="Calibri"/>
        <family val="2"/>
        <scheme val="minor"/>
      </font>
      <fill>
        <patternFill>
          <bgColor theme="9" tint="-0.499984740745262"/>
        </patternFill>
      </fill>
    </dxf>
    <dxf>
      <numFmt numFmtId="0" formatCode="General"/>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theme="9" tint="-0.499984740745262"/>
        </patternFill>
      </fill>
      <border>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Green" pivot="0" table="0" count="8" xr9:uid="{6ECA5136-67A1-4E8A-B271-484E53844533}">
      <tableStyleElement type="wholeTable" dxfId="4"/>
      <tableStyleElement type="headerRow" dxfId="3"/>
    </tableStyle>
    <tableStyle name="Greens" pivot="0" table="0" count="6" xr9:uid="{FA97E53E-8706-4709-9DDA-C3E9418869B7}">
      <tableStyleElement type="wholeTable" dxfId="1"/>
      <tableStyleElement type="headerRow" dxfId="0"/>
    </tableStyle>
  </tableStyles>
  <colors>
    <mruColors>
      <color rgb="FFDAC3EB"/>
      <color rgb="FFB98FD9"/>
      <color rgb="FF8D47C1"/>
      <color rgb="FFB78CD8"/>
      <color rgb="FF8B44C0"/>
      <color rgb="FFD2F2B1"/>
      <color rgb="FF93B8E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eens">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9" tint="0.79998168889431442"/>
            </patternFill>
          </fill>
          <border>
            <left style="thin">
              <color auto="1"/>
            </left>
            <right style="thin">
              <color auto="1"/>
            </right>
            <top style="thin">
              <color auto="1"/>
            </top>
            <bottom style="thin">
              <color auto="1"/>
            </bottom>
          </border>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7"/>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01681667690634E-2"/>
          <c:y val="0.16806569714105965"/>
          <c:w val="0.74075835883053986"/>
          <c:h val="0.62806419881180175"/>
        </c:manualLayout>
      </c:layout>
      <c:lineChart>
        <c:grouping val="standard"/>
        <c:varyColors val="0"/>
        <c:ser>
          <c:idx val="0"/>
          <c:order val="0"/>
          <c:tx>
            <c:strRef>
              <c:f>TotalSales!$C$3:$C$4</c:f>
              <c:strCache>
                <c:ptCount val="1"/>
                <c:pt idx="0">
                  <c:v>Arabica</c:v>
                </c:pt>
              </c:strCache>
            </c:strRef>
          </c:tx>
          <c:spPr>
            <a:ln w="28575" cap="rnd">
              <a:solidFill>
                <a:schemeClr val="accent5">
                  <a:lumMod val="60000"/>
                  <a:lumOff val="4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CA6-4D6A-B065-2C9D69389D04}"/>
            </c:ext>
          </c:extLst>
        </c:ser>
        <c:ser>
          <c:idx val="1"/>
          <c:order val="1"/>
          <c:tx>
            <c:strRef>
              <c:f>TotalSales!$D$3:$D$4</c:f>
              <c:strCache>
                <c:ptCount val="1"/>
                <c:pt idx="0">
                  <c:v>Excelsa</c:v>
                </c:pt>
              </c:strCache>
            </c:strRef>
          </c:tx>
          <c:spPr>
            <a:ln w="28575" cap="rnd">
              <a:solidFill>
                <a:schemeClr val="accent4">
                  <a:lumMod val="5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4CA6-4D6A-B065-2C9D69389D04}"/>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4CA6-4D6A-B065-2C9D69389D04}"/>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4CA6-4D6A-B065-2C9D69389D04}"/>
            </c:ext>
          </c:extLst>
        </c:ser>
        <c:dLbls>
          <c:showLegendKey val="0"/>
          <c:showVal val="0"/>
          <c:showCatName val="0"/>
          <c:showSerName val="0"/>
          <c:showPercent val="0"/>
          <c:showBubbleSize val="0"/>
        </c:dLbls>
        <c:smooth val="0"/>
        <c:axId val="818756168"/>
        <c:axId val="818756888"/>
      </c:lineChart>
      <c:catAx>
        <c:axId val="81875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8756888"/>
        <c:crosses val="autoZero"/>
        <c:auto val="1"/>
        <c:lblAlgn val="ctr"/>
        <c:lblOffset val="100"/>
        <c:noMultiLvlLbl val="0"/>
      </c:catAx>
      <c:valAx>
        <c:axId val="81875688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875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47C1"/>
          </a:solidFill>
          <a:ln w="25400">
            <a:solidFill>
              <a:schemeClr val="bg1"/>
            </a:solidFill>
          </a:ln>
          <a:effectLst/>
        </c:spPr>
      </c:pivotFmt>
      <c:pivotFmt>
        <c:idx val="2"/>
        <c:spPr>
          <a:solidFill>
            <a:srgbClr val="B98FD9"/>
          </a:solidFill>
          <a:ln w="25400">
            <a:solidFill>
              <a:schemeClr val="bg1"/>
            </a:solidFill>
          </a:ln>
          <a:effectLst/>
        </c:spPr>
      </c:pivotFmt>
      <c:pivotFmt>
        <c:idx val="3"/>
        <c:spPr>
          <a:solidFill>
            <a:srgbClr val="DAC3EB"/>
          </a:solidFill>
          <a:ln w="25400">
            <a:solidFill>
              <a:schemeClr val="bg1"/>
            </a:solidFill>
          </a:ln>
          <a:effectLst/>
        </c:spPr>
      </c:pivotFmt>
      <c:pivotFmt>
        <c:idx val="4"/>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AC3EB"/>
          </a:solidFill>
          <a:ln w="25400">
            <a:solidFill>
              <a:schemeClr val="bg1"/>
            </a:solidFill>
          </a:ln>
          <a:effectLst/>
        </c:spPr>
      </c:pivotFmt>
      <c:pivotFmt>
        <c:idx val="6"/>
        <c:spPr>
          <a:solidFill>
            <a:srgbClr val="B98FD9"/>
          </a:solidFill>
          <a:ln w="25400">
            <a:solidFill>
              <a:schemeClr val="bg1"/>
            </a:solidFill>
          </a:ln>
          <a:effectLst/>
        </c:spPr>
      </c:pivotFmt>
      <c:pivotFmt>
        <c:idx val="7"/>
        <c:spPr>
          <a:solidFill>
            <a:srgbClr val="8D47C1"/>
          </a:solidFill>
          <a:ln w="25400">
            <a:solidFill>
              <a:schemeClr val="bg1"/>
            </a:solidFill>
          </a:ln>
          <a:effectLst/>
        </c:spPr>
      </c:pivotFmt>
      <c:pivotFmt>
        <c:idx val="8"/>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AC3EB"/>
          </a:solidFill>
          <a:ln w="25400">
            <a:solidFill>
              <a:schemeClr val="bg1"/>
            </a:solidFill>
          </a:ln>
          <a:effectLst/>
        </c:spPr>
      </c:pivotFmt>
      <c:pivotFmt>
        <c:idx val="10"/>
        <c:spPr>
          <a:solidFill>
            <a:srgbClr val="B98FD9"/>
          </a:solidFill>
          <a:ln w="25400">
            <a:solidFill>
              <a:schemeClr val="bg1"/>
            </a:solidFill>
          </a:ln>
          <a:effectLst/>
        </c:spPr>
      </c:pivotFmt>
      <c:pivotFmt>
        <c:idx val="11"/>
        <c:spPr>
          <a:solidFill>
            <a:srgbClr val="8D47C1"/>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B78CD8"/>
            </a:solidFill>
            <a:ln w="25400">
              <a:solidFill>
                <a:schemeClr val="bg1"/>
              </a:solidFill>
            </a:ln>
            <a:effectLst/>
          </c:spPr>
          <c:invertIfNegative val="0"/>
          <c:dPt>
            <c:idx val="0"/>
            <c:invertIfNegative val="0"/>
            <c:bubble3D val="0"/>
            <c:spPr>
              <a:solidFill>
                <a:srgbClr val="DAC3EB"/>
              </a:solidFill>
              <a:ln w="25400">
                <a:solidFill>
                  <a:schemeClr val="bg1"/>
                </a:solidFill>
              </a:ln>
              <a:effectLst/>
            </c:spPr>
            <c:extLst>
              <c:ext xmlns:c16="http://schemas.microsoft.com/office/drawing/2014/chart" uri="{C3380CC4-5D6E-409C-BE32-E72D297353CC}">
                <c16:uniqueId val="{00000001-B29C-45CA-BFF2-023024A41EE8}"/>
              </c:ext>
            </c:extLst>
          </c:dPt>
          <c:dPt>
            <c:idx val="1"/>
            <c:invertIfNegative val="0"/>
            <c:bubble3D val="0"/>
            <c:spPr>
              <a:solidFill>
                <a:srgbClr val="B98FD9"/>
              </a:solidFill>
              <a:ln w="25400">
                <a:solidFill>
                  <a:schemeClr val="bg1"/>
                </a:solidFill>
              </a:ln>
              <a:effectLst/>
            </c:spPr>
            <c:extLst>
              <c:ext xmlns:c16="http://schemas.microsoft.com/office/drawing/2014/chart" uri="{C3380CC4-5D6E-409C-BE32-E72D297353CC}">
                <c16:uniqueId val="{00000003-B29C-45CA-BFF2-023024A41EE8}"/>
              </c:ext>
            </c:extLst>
          </c:dPt>
          <c:dPt>
            <c:idx val="2"/>
            <c:invertIfNegative val="0"/>
            <c:bubble3D val="0"/>
            <c:spPr>
              <a:solidFill>
                <a:srgbClr val="8D47C1"/>
              </a:solidFill>
              <a:ln w="25400">
                <a:solidFill>
                  <a:schemeClr val="bg1"/>
                </a:solidFill>
              </a:ln>
              <a:effectLst/>
            </c:spPr>
            <c:extLst>
              <c:ext xmlns:c16="http://schemas.microsoft.com/office/drawing/2014/chart" uri="{C3380CC4-5D6E-409C-BE32-E72D297353CC}">
                <c16:uniqueId val="{00000005-B29C-45CA-BFF2-023024A41EE8}"/>
              </c:ext>
            </c:extLst>
          </c:dPt>
          <c:cat>
            <c:strRef>
              <c:f>CountryBarChart!$A$4:$A$7</c:f>
              <c:strCache>
                <c:ptCount val="3"/>
                <c:pt idx="0">
                  <c:v>United Kingdom</c:v>
                </c:pt>
                <c:pt idx="1">
                  <c:v>Ireland</c:v>
                </c:pt>
                <c:pt idx="2">
                  <c:v>United States</c:v>
                </c:pt>
              </c:strCache>
            </c:strRef>
          </c:cat>
          <c:val>
            <c:numRef>
              <c:f>CountryBarChart!$B$4:$B$7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29C-45CA-BFF2-023024A41EE8}"/>
            </c:ext>
          </c:extLst>
        </c:ser>
        <c:dLbls>
          <c:showLegendKey val="0"/>
          <c:showVal val="0"/>
          <c:showCatName val="0"/>
          <c:showSerName val="0"/>
          <c:showPercent val="0"/>
          <c:showBubbleSize val="0"/>
        </c:dLbls>
        <c:gapWidth val="182"/>
        <c:axId val="1092810320"/>
        <c:axId val="1092808880"/>
      </c:barChart>
      <c:catAx>
        <c:axId val="109281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08880"/>
        <c:crosses val="autoZero"/>
        <c:auto val="1"/>
        <c:lblAlgn val="ctr"/>
        <c:lblOffset val="100"/>
        <c:noMultiLvlLbl val="0"/>
      </c:catAx>
      <c:valAx>
        <c:axId val="1092808880"/>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7"/>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47C1"/>
          </a:solidFill>
          <a:ln w="25400">
            <a:solidFill>
              <a:schemeClr val="bg1"/>
            </a:solidFill>
          </a:ln>
          <a:effectLst/>
        </c:spPr>
      </c:pivotFmt>
      <c:pivotFmt>
        <c:idx val="2"/>
        <c:spPr>
          <a:solidFill>
            <a:srgbClr val="B98FD9"/>
          </a:solidFill>
          <a:ln w="25400">
            <a:solidFill>
              <a:schemeClr val="bg1"/>
            </a:solidFill>
          </a:ln>
          <a:effectLst/>
        </c:spPr>
      </c:pivotFmt>
      <c:pivotFmt>
        <c:idx val="3"/>
        <c:spPr>
          <a:solidFill>
            <a:srgbClr val="DAC3EB"/>
          </a:solidFill>
          <a:ln w="25400">
            <a:solidFill>
              <a:schemeClr val="bg1"/>
            </a:solidFill>
          </a:ln>
          <a:effectLst/>
        </c:spPr>
      </c:pivotFmt>
      <c:pivotFmt>
        <c:idx val="4"/>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AC3EB"/>
          </a:solidFill>
          <a:ln w="25400">
            <a:solidFill>
              <a:schemeClr val="bg1"/>
            </a:solidFill>
          </a:ln>
          <a:effectLst/>
        </c:spPr>
      </c:pivotFmt>
      <c:pivotFmt>
        <c:idx val="6"/>
        <c:spPr>
          <a:solidFill>
            <a:srgbClr val="B98FD9"/>
          </a:solidFill>
          <a:ln w="25400">
            <a:solidFill>
              <a:schemeClr val="bg1"/>
            </a:solidFill>
          </a:ln>
          <a:effectLst/>
        </c:spPr>
      </c:pivotFmt>
      <c:pivotFmt>
        <c:idx val="7"/>
        <c:spPr>
          <a:solidFill>
            <a:srgbClr val="8D47C1"/>
          </a:solidFill>
          <a:ln w="25400">
            <a:solidFill>
              <a:schemeClr val="bg1"/>
            </a:solidFill>
          </a:ln>
          <a:effectLst/>
        </c:spPr>
      </c:pivotFmt>
      <c:pivotFmt>
        <c:idx val="8"/>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B78CD8"/>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BDD-42E2-966A-02762C5938F8}"/>
              </c:ext>
            </c:extLst>
          </c:dPt>
          <c:dPt>
            <c:idx val="1"/>
            <c:invertIfNegative val="0"/>
            <c:bubble3D val="0"/>
            <c:extLst>
              <c:ext xmlns:c16="http://schemas.microsoft.com/office/drawing/2014/chart" uri="{C3380CC4-5D6E-409C-BE32-E72D297353CC}">
                <c16:uniqueId val="{00000001-8BDD-42E2-966A-02762C5938F8}"/>
              </c:ext>
            </c:extLst>
          </c:dPt>
          <c:dPt>
            <c:idx val="2"/>
            <c:invertIfNegative val="0"/>
            <c:bubble3D val="0"/>
            <c:extLst>
              <c:ext xmlns:c16="http://schemas.microsoft.com/office/drawing/2014/chart" uri="{C3380CC4-5D6E-409C-BE32-E72D297353CC}">
                <c16:uniqueId val="{00000002-8BDD-42E2-966A-02762C5938F8}"/>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BDD-42E2-966A-02762C5938F8}"/>
            </c:ext>
          </c:extLst>
        </c:ser>
        <c:dLbls>
          <c:showLegendKey val="0"/>
          <c:showVal val="0"/>
          <c:showCatName val="0"/>
          <c:showSerName val="0"/>
          <c:showPercent val="0"/>
          <c:showBubbleSize val="0"/>
        </c:dLbls>
        <c:gapWidth val="182"/>
        <c:axId val="1092810320"/>
        <c:axId val="1092808880"/>
      </c:barChart>
      <c:catAx>
        <c:axId val="109281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08880"/>
        <c:crosses val="autoZero"/>
        <c:auto val="1"/>
        <c:lblAlgn val="ctr"/>
        <c:lblOffset val="100"/>
        <c:noMultiLvlLbl val="0"/>
      </c:catAx>
      <c:valAx>
        <c:axId val="1092808880"/>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60000"/>
                <a:lumOff val="40000"/>
              </a:schemeClr>
            </a:solidFill>
            <a:round/>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95361832326154E-2"/>
          <c:y val="0.16806571875788295"/>
          <c:w val="0.74075835883053986"/>
          <c:h val="0.62806419881180175"/>
        </c:manualLayout>
      </c:layout>
      <c:lineChart>
        <c:grouping val="standard"/>
        <c:varyColors val="0"/>
        <c:ser>
          <c:idx val="0"/>
          <c:order val="0"/>
          <c:tx>
            <c:strRef>
              <c:f>TotalSales!$C$3:$C$4</c:f>
              <c:strCache>
                <c:ptCount val="1"/>
                <c:pt idx="0">
                  <c:v>Arabica</c:v>
                </c:pt>
              </c:strCache>
            </c:strRef>
          </c:tx>
          <c:spPr>
            <a:ln w="28575" cap="rnd">
              <a:solidFill>
                <a:schemeClr val="accent5">
                  <a:lumMod val="60000"/>
                  <a:lumOff val="4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635-4F07-BB0C-3163DEE3F078}"/>
            </c:ext>
          </c:extLst>
        </c:ser>
        <c:ser>
          <c:idx val="1"/>
          <c:order val="1"/>
          <c:tx>
            <c:strRef>
              <c:f>TotalSales!$D$3:$D$4</c:f>
              <c:strCache>
                <c:ptCount val="1"/>
                <c:pt idx="0">
                  <c:v>Excelsa</c:v>
                </c:pt>
              </c:strCache>
            </c:strRef>
          </c:tx>
          <c:spPr>
            <a:ln w="28575" cap="rnd">
              <a:solidFill>
                <a:schemeClr val="accent4">
                  <a:lumMod val="50000"/>
                </a:schemeClr>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0-4635-4F07-BB0C-3163DEE3F07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1-4635-4F07-BB0C-3163DEE3F078}"/>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2-4635-4F07-BB0C-3163DEE3F078}"/>
            </c:ext>
          </c:extLst>
        </c:ser>
        <c:dLbls>
          <c:showLegendKey val="0"/>
          <c:showVal val="0"/>
          <c:showCatName val="0"/>
          <c:showSerName val="0"/>
          <c:showPercent val="0"/>
          <c:showBubbleSize val="0"/>
        </c:dLbls>
        <c:smooth val="0"/>
        <c:axId val="818756168"/>
        <c:axId val="818756888"/>
      </c:lineChart>
      <c:catAx>
        <c:axId val="81875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8756888"/>
        <c:crosses val="autoZero"/>
        <c:auto val="1"/>
        <c:lblAlgn val="ctr"/>
        <c:lblOffset val="100"/>
        <c:noMultiLvlLbl val="0"/>
      </c:catAx>
      <c:valAx>
        <c:axId val="81875688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875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47C1"/>
          </a:solidFill>
          <a:ln w="25400">
            <a:solidFill>
              <a:schemeClr val="bg1"/>
            </a:solidFill>
          </a:ln>
          <a:effectLst/>
        </c:spPr>
      </c:pivotFmt>
      <c:pivotFmt>
        <c:idx val="2"/>
        <c:spPr>
          <a:solidFill>
            <a:srgbClr val="B98FD9"/>
          </a:solidFill>
          <a:ln w="25400">
            <a:solidFill>
              <a:schemeClr val="bg1"/>
            </a:solidFill>
          </a:ln>
          <a:effectLst/>
        </c:spPr>
      </c:pivotFmt>
      <c:pivotFmt>
        <c:idx val="3"/>
        <c:spPr>
          <a:solidFill>
            <a:srgbClr val="DAC3EB"/>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B78CD8"/>
            </a:solidFill>
            <a:ln w="25400">
              <a:solidFill>
                <a:schemeClr val="bg1"/>
              </a:solidFill>
            </a:ln>
            <a:effectLst/>
          </c:spPr>
          <c:invertIfNegative val="0"/>
          <c:dPt>
            <c:idx val="0"/>
            <c:invertIfNegative val="0"/>
            <c:bubble3D val="0"/>
            <c:spPr>
              <a:solidFill>
                <a:srgbClr val="DAC3EB"/>
              </a:solidFill>
              <a:ln w="25400">
                <a:solidFill>
                  <a:schemeClr val="bg1"/>
                </a:solidFill>
              </a:ln>
              <a:effectLst/>
            </c:spPr>
            <c:extLst>
              <c:ext xmlns:c16="http://schemas.microsoft.com/office/drawing/2014/chart" uri="{C3380CC4-5D6E-409C-BE32-E72D297353CC}">
                <c16:uniqueId val="{00000004-8F96-42C3-BB0C-9FD4042A6D96}"/>
              </c:ext>
            </c:extLst>
          </c:dPt>
          <c:dPt>
            <c:idx val="1"/>
            <c:invertIfNegative val="0"/>
            <c:bubble3D val="0"/>
            <c:spPr>
              <a:solidFill>
                <a:srgbClr val="B98FD9"/>
              </a:solidFill>
              <a:ln w="25400">
                <a:solidFill>
                  <a:schemeClr val="bg1"/>
                </a:solidFill>
              </a:ln>
              <a:effectLst/>
            </c:spPr>
            <c:extLst>
              <c:ext xmlns:c16="http://schemas.microsoft.com/office/drawing/2014/chart" uri="{C3380CC4-5D6E-409C-BE32-E72D297353CC}">
                <c16:uniqueId val="{00000003-8F96-42C3-BB0C-9FD4042A6D96}"/>
              </c:ext>
            </c:extLst>
          </c:dPt>
          <c:dPt>
            <c:idx val="2"/>
            <c:invertIfNegative val="0"/>
            <c:bubble3D val="0"/>
            <c:spPr>
              <a:solidFill>
                <a:srgbClr val="8D47C1"/>
              </a:solidFill>
              <a:ln w="25400">
                <a:solidFill>
                  <a:schemeClr val="bg1"/>
                </a:solidFill>
              </a:ln>
              <a:effectLst/>
            </c:spPr>
            <c:extLst>
              <c:ext xmlns:c16="http://schemas.microsoft.com/office/drawing/2014/chart" uri="{C3380CC4-5D6E-409C-BE32-E72D297353CC}">
                <c16:uniqueId val="{00000002-8F96-42C3-BB0C-9FD4042A6D96}"/>
              </c:ext>
            </c:extLst>
          </c:dPt>
          <c:cat>
            <c:strRef>
              <c:f>CountryBarChart!$A$4:$A$7</c:f>
              <c:strCache>
                <c:ptCount val="3"/>
                <c:pt idx="0">
                  <c:v>United Kingdom</c:v>
                </c:pt>
                <c:pt idx="1">
                  <c:v>Ireland</c:v>
                </c:pt>
                <c:pt idx="2">
                  <c:v>United States</c:v>
                </c:pt>
              </c:strCache>
            </c:strRef>
          </c:cat>
          <c:val>
            <c:numRef>
              <c:f>CountryBarChart!$B$4:$B$7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F96-42C3-BB0C-9FD4042A6D96}"/>
            </c:ext>
          </c:extLst>
        </c:ser>
        <c:dLbls>
          <c:showLegendKey val="0"/>
          <c:showVal val="0"/>
          <c:showCatName val="0"/>
          <c:showSerName val="0"/>
          <c:showPercent val="0"/>
          <c:showBubbleSize val="0"/>
        </c:dLbls>
        <c:gapWidth val="182"/>
        <c:axId val="1092810320"/>
        <c:axId val="1092808880"/>
      </c:barChart>
      <c:catAx>
        <c:axId val="109281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08880"/>
        <c:crosses val="autoZero"/>
        <c:auto val="1"/>
        <c:lblAlgn val="ctr"/>
        <c:lblOffset val="100"/>
        <c:noMultiLvlLbl val="0"/>
      </c:catAx>
      <c:valAx>
        <c:axId val="1092808880"/>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47C1"/>
          </a:solidFill>
          <a:ln w="25400">
            <a:solidFill>
              <a:schemeClr val="bg1"/>
            </a:solidFill>
          </a:ln>
          <a:effectLst/>
        </c:spPr>
      </c:pivotFmt>
      <c:pivotFmt>
        <c:idx val="2"/>
        <c:spPr>
          <a:solidFill>
            <a:srgbClr val="B98FD9"/>
          </a:solidFill>
          <a:ln w="25400">
            <a:solidFill>
              <a:schemeClr val="bg1"/>
            </a:solidFill>
          </a:ln>
          <a:effectLst/>
        </c:spPr>
      </c:pivotFmt>
      <c:pivotFmt>
        <c:idx val="3"/>
        <c:spPr>
          <a:solidFill>
            <a:srgbClr val="DAC3EB"/>
          </a:solidFill>
          <a:ln w="25400">
            <a:solidFill>
              <a:schemeClr val="bg1"/>
            </a:solidFill>
          </a:ln>
          <a:effectLst/>
        </c:spPr>
      </c:pivotFmt>
      <c:pivotFmt>
        <c:idx val="4"/>
        <c:spPr>
          <a:solidFill>
            <a:srgbClr val="B78CD8"/>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AC3EB"/>
          </a:solidFill>
          <a:ln w="25400">
            <a:solidFill>
              <a:schemeClr val="bg1"/>
            </a:solidFill>
          </a:ln>
          <a:effectLst/>
        </c:spPr>
      </c:pivotFmt>
      <c:pivotFmt>
        <c:idx val="6"/>
        <c:spPr>
          <a:solidFill>
            <a:srgbClr val="B98FD9"/>
          </a:solidFill>
          <a:ln w="25400">
            <a:solidFill>
              <a:schemeClr val="bg1"/>
            </a:solidFill>
          </a:ln>
          <a:effectLst/>
        </c:spPr>
      </c:pivotFmt>
      <c:pivotFmt>
        <c:idx val="7"/>
        <c:spPr>
          <a:solidFill>
            <a:srgbClr val="8D47C1"/>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B78CD8"/>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259A-4BAF-A64B-6DB93E8E1AF5}"/>
              </c:ext>
            </c:extLst>
          </c:dPt>
          <c:dPt>
            <c:idx val="1"/>
            <c:invertIfNegative val="0"/>
            <c:bubble3D val="0"/>
            <c:extLst>
              <c:ext xmlns:c16="http://schemas.microsoft.com/office/drawing/2014/chart" uri="{C3380CC4-5D6E-409C-BE32-E72D297353CC}">
                <c16:uniqueId val="{00000003-259A-4BAF-A64B-6DB93E8E1AF5}"/>
              </c:ext>
            </c:extLst>
          </c:dPt>
          <c:dPt>
            <c:idx val="2"/>
            <c:invertIfNegative val="0"/>
            <c:bubble3D val="0"/>
            <c:extLst>
              <c:ext xmlns:c16="http://schemas.microsoft.com/office/drawing/2014/chart" uri="{C3380CC4-5D6E-409C-BE32-E72D297353CC}">
                <c16:uniqueId val="{00000005-259A-4BAF-A64B-6DB93E8E1AF5}"/>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259A-4BAF-A64B-6DB93E8E1AF5}"/>
            </c:ext>
          </c:extLst>
        </c:ser>
        <c:dLbls>
          <c:showLegendKey val="0"/>
          <c:showVal val="0"/>
          <c:showCatName val="0"/>
          <c:showSerName val="0"/>
          <c:showPercent val="0"/>
          <c:showBubbleSize val="0"/>
        </c:dLbls>
        <c:gapWidth val="182"/>
        <c:axId val="1092810320"/>
        <c:axId val="1092808880"/>
      </c:barChart>
      <c:catAx>
        <c:axId val="109281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08880"/>
        <c:crosses val="autoZero"/>
        <c:auto val="1"/>
        <c:lblAlgn val="ctr"/>
        <c:lblOffset val="100"/>
        <c:noMultiLvlLbl val="0"/>
      </c:catAx>
      <c:valAx>
        <c:axId val="1092808880"/>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928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F2B1"/>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BDC5AF3E-C3F7-1483-EC37-40021E9FD7EE}"/>
            </a:ext>
          </a:extLst>
        </xdr:cNvPr>
        <xdr:cNvSpPr/>
      </xdr:nvSpPr>
      <xdr:spPr>
        <a:xfrm>
          <a:off x="112569" y="60615"/>
          <a:ext cx="15794182" cy="727363"/>
        </a:xfrm>
        <a:prstGeom prst="rect">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0</xdr:colOff>
      <xdr:row>17</xdr:row>
      <xdr:rowOff>1946</xdr:rowOff>
    </xdr:from>
    <xdr:to>
      <xdr:col>15</xdr:col>
      <xdr:colOff>0</xdr:colOff>
      <xdr:row>40</xdr:row>
      <xdr:rowOff>-1</xdr:rowOff>
    </xdr:to>
    <xdr:graphicFrame macro="">
      <xdr:nvGraphicFramePr>
        <xdr:cNvPr id="5" name="Chart 4">
          <a:extLst>
            <a:ext uri="{FF2B5EF4-FFF2-40B4-BE49-F238E27FC236}">
              <a16:creationId xmlns:a16="http://schemas.microsoft.com/office/drawing/2014/main" id="{1E43A5F7-877B-4FA9-B980-7D4B06960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112568</xdr:colOff>
      <xdr:row>6</xdr:row>
      <xdr:rowOff>33772</xdr:rowOff>
    </xdr:from>
    <xdr:to>
      <xdr:col>18</xdr:col>
      <xdr:colOff>25977</xdr:colOff>
      <xdr:row>16</xdr:row>
      <xdr:rowOff>25976</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938C551F-4CB8-4F4A-B6A3-9B07FB6AA56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2568" y="928193"/>
              <a:ext cx="11087860" cy="17113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207817</xdr:colOff>
      <xdr:row>11</xdr:row>
      <xdr:rowOff>0</xdr:rowOff>
    </xdr:from>
    <xdr:to>
      <xdr:col>23</xdr:col>
      <xdr:colOff>34203</xdr:colOff>
      <xdr:row>16</xdr:row>
      <xdr:rowOff>3247</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B71A15AD-61F1-4258-A9E0-52774242284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329881" y="1713339"/>
              <a:ext cx="2585267" cy="90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8659</xdr:rowOff>
    </xdr:from>
    <xdr:to>
      <xdr:col>26</xdr:col>
      <xdr:colOff>1</xdr:colOff>
      <xdr:row>9</xdr:row>
      <xdr:rowOff>173181</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3E0C192C-64AA-4B36-A1ED-D4CC2694943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331266" y="903080"/>
              <a:ext cx="4541800" cy="704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119494</xdr:colOff>
      <xdr:row>11</xdr:row>
      <xdr:rowOff>1</xdr:rowOff>
    </xdr:from>
    <xdr:to>
      <xdr:col>26</xdr:col>
      <xdr:colOff>0</xdr:colOff>
      <xdr:row>16</xdr:row>
      <xdr:rowOff>234</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3351F8D2-F718-471D-9EC9-460D13F1318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4000439" y="1713340"/>
              <a:ext cx="1872626" cy="900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78144</xdr:colOff>
      <xdr:row>17</xdr:row>
      <xdr:rowOff>0</xdr:rowOff>
    </xdr:from>
    <xdr:to>
      <xdr:col>26</xdr:col>
      <xdr:colOff>-1</xdr:colOff>
      <xdr:row>26</xdr:row>
      <xdr:rowOff>35720</xdr:rowOff>
    </xdr:to>
    <xdr:graphicFrame macro="">
      <xdr:nvGraphicFramePr>
        <xdr:cNvPr id="10" name="Chart 9">
          <a:extLst>
            <a:ext uri="{FF2B5EF4-FFF2-40B4-BE49-F238E27FC236}">
              <a16:creationId xmlns:a16="http://schemas.microsoft.com/office/drawing/2014/main" id="{0CC1CC68-3FF2-4E16-B5EB-C6D3C8D04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81880</xdr:colOff>
      <xdr:row>26</xdr:row>
      <xdr:rowOff>121229</xdr:rowOff>
    </xdr:from>
    <xdr:to>
      <xdr:col>26</xdr:col>
      <xdr:colOff>0</xdr:colOff>
      <xdr:row>39</xdr:row>
      <xdr:rowOff>164522</xdr:rowOff>
    </xdr:to>
    <xdr:graphicFrame macro="">
      <xdr:nvGraphicFramePr>
        <xdr:cNvPr id="11" name="Chart 10">
          <a:extLst>
            <a:ext uri="{FF2B5EF4-FFF2-40B4-BE49-F238E27FC236}">
              <a16:creationId xmlns:a16="http://schemas.microsoft.com/office/drawing/2014/main" id="{F1AC1141-39EF-4B50-B5D0-E8AE72016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328613</xdr:colOff>
      <xdr:row>7</xdr:row>
      <xdr:rowOff>121443</xdr:rowOff>
    </xdr:from>
    <xdr:to>
      <xdr:col>17</xdr:col>
      <xdr:colOff>581025</xdr:colOff>
      <xdr:row>23</xdr:row>
      <xdr:rowOff>28574</xdr:rowOff>
    </xdr:to>
    <xdr:graphicFrame macro="">
      <xdr:nvGraphicFramePr>
        <xdr:cNvPr id="2" name="Chart 1">
          <a:extLst>
            <a:ext uri="{FF2B5EF4-FFF2-40B4-BE49-F238E27FC236}">
              <a16:creationId xmlns:a16="http://schemas.microsoft.com/office/drawing/2014/main" id="{BB5DE0FE-47EF-10BB-0FF1-5E2CF9F90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628649</xdr:colOff>
      <xdr:row>18</xdr:row>
      <xdr:rowOff>61913</xdr:rowOff>
    </xdr:from>
    <xdr:to>
      <xdr:col>15</xdr:col>
      <xdr:colOff>376237</xdr:colOff>
      <xdr:row>24</xdr:row>
      <xdr:rowOff>33337</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BE1A962-3B71-9074-341F-E0A2031F346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048624" y="3319463"/>
              <a:ext cx="5657851" cy="10572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547688</xdr:colOff>
      <xdr:row>4</xdr:row>
      <xdr:rowOff>161925</xdr:rowOff>
    </xdr:from>
    <xdr:to>
      <xdr:col>9</xdr:col>
      <xdr:colOff>352425</xdr:colOff>
      <xdr:row>9</xdr:row>
      <xdr:rowOff>161925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4E3055D-2647-4C1D-A8F0-356A3F6B1E5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967663" y="8858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223837</xdr:colOff>
      <xdr:row>0</xdr:row>
      <xdr:rowOff>157162</xdr:rowOff>
    </xdr:from>
    <xdr:to>
      <xdr:col>12</xdr:col>
      <xdr:colOff>261937</xdr:colOff>
      <xdr:row>4</xdr:row>
      <xdr:rowOff>28575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7806851-4FA0-69A8-517C-F5CBB0903C5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372475" y="157162"/>
              <a:ext cx="3276600" cy="595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190499</xdr:colOff>
      <xdr:row>0</xdr:row>
      <xdr:rowOff>157163</xdr:rowOff>
    </xdr:from>
    <xdr:to>
      <xdr:col>16</xdr:col>
      <xdr:colOff>76199</xdr:colOff>
      <xdr:row>6</xdr:row>
      <xdr:rowOff>38101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C7373984-4114-45B6-6210-3539A702DF3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225337" y="157163"/>
              <a:ext cx="1828800" cy="966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1247773</xdr:colOff>
      <xdr:row>3</xdr:row>
      <xdr:rowOff>147637</xdr:rowOff>
    </xdr:from>
    <xdr:to>
      <xdr:col>10</xdr:col>
      <xdr:colOff>338136</xdr:colOff>
      <xdr:row>22</xdr:row>
      <xdr:rowOff>38100</xdr:rowOff>
    </xdr:to>
    <xdr:graphicFrame macro="">
      <xdr:nvGraphicFramePr>
        <xdr:cNvPr id="7" name="Chart 6">
          <a:extLst>
            <a:ext uri="{FF2B5EF4-FFF2-40B4-BE49-F238E27FC236}">
              <a16:creationId xmlns:a16="http://schemas.microsoft.com/office/drawing/2014/main" id="{350B8D26-E301-50C9-A256-629229F50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642937</xdr:colOff>
      <xdr:row>3</xdr:row>
      <xdr:rowOff>147637</xdr:rowOff>
    </xdr:from>
    <xdr:to>
      <xdr:col>10</xdr:col>
      <xdr:colOff>338136</xdr:colOff>
      <xdr:row>20</xdr:row>
      <xdr:rowOff>119063</xdr:rowOff>
    </xdr:to>
    <xdr:graphicFrame macro="">
      <xdr:nvGraphicFramePr>
        <xdr:cNvPr id="2" name="Chart 1">
          <a:extLst>
            <a:ext uri="{FF2B5EF4-FFF2-40B4-BE49-F238E27FC236}">
              <a16:creationId xmlns:a16="http://schemas.microsoft.com/office/drawing/2014/main" id="{9EADC1E6-1BE8-4131-871A-6C946E097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n Mammadli" refreshedDate="45988.017639120371" createdVersion="8" refreshedVersion="8" minRefreshableVersion="3" recordCount="1000" xr:uid="{5A8C0AA7-4525-4EC6-9444-B0BA7B3C5EAD}">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894697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7B92B-E511-4BC2-B721-1A395B33C706}"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3:G53"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2" numFmtId="37"/>
  </dataFields>
  <chartFormats count="11">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1" format="5" series="1">
      <pivotArea type="data" outline="0" fieldPosition="0">
        <references count="1">
          <reference field="4294967294" count="1" selected="0">
            <x v="0"/>
          </reference>
        </references>
      </pivotArea>
    </chartFormat>
    <chartFormat chart="7" format="10" series="1">
      <pivotArea type="data" outline="0" fieldPosition="0">
        <references count="2">
          <reference field="4294967294" count="1" selected="0">
            <x v="0"/>
          </reference>
          <reference field="13" count="1" selected="0">
            <x v="0"/>
          </reference>
        </references>
      </pivotArea>
    </chartFormat>
    <chartFormat chart="7" format="11"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2"/>
          </reference>
        </references>
      </pivotArea>
    </chartFormat>
    <chartFormat chart="7" format="13" series="1">
      <pivotArea type="data" outline="0" fieldPosition="0">
        <references count="2">
          <reference field="4294967294" count="1" selected="0">
            <x v="0"/>
          </reference>
          <reference field="13" count="1" selected="0">
            <x v="3"/>
          </reference>
        </references>
      </pivotArea>
    </chartFormat>
    <chartFormat chart="7"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F1DD87-34AF-47E0-9AA0-B18A07162E60}"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5"/>
  </dataFields>
  <chartFormats count="9">
    <chartFormat chart="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1"/>
          </reference>
        </references>
      </pivotArea>
    </chartFormat>
    <chartFormat chart="16" format="10">
      <pivotArea type="data" outline="0" fieldPosition="0">
        <references count="2">
          <reference field="4294967294" count="1" selected="0">
            <x v="0"/>
          </reference>
          <reference field="7" count="1" selected="0">
            <x v="0"/>
          </reference>
        </references>
      </pivotArea>
    </chartFormat>
    <chartFormat chart="1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46CBDA-0BFF-4B8B-A2DE-561E8994CC11}" name="TotalSales" cacheId="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9"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5"/>
  </dataFields>
  <chartFormats count="5">
    <chartFormat chart="1" format="5"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62697E9-7CD3-45EB-98D7-26A10F28D678}" sourceName="Size">
  <pivotTables>
    <pivotTable tabId="18" name="TotalSales"/>
    <pivotTable tabId="19" name="TotalSales"/>
    <pivotTable tabId="20" name="TotalSales"/>
  </pivotTables>
  <data>
    <tabular pivotCacheId="89469763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C884E8B-ACFC-45A6-BCA9-7F21799AADC7}" sourceName="Roast Type Name">
  <pivotTables>
    <pivotTable tabId="18" name="TotalSales"/>
    <pivotTable tabId="19" name="TotalSales"/>
    <pivotTable tabId="20" name="TotalSales"/>
  </pivotTables>
  <data>
    <tabular pivotCacheId="89469763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E803BF4-9533-4FA5-ADA1-280F67E18A58}" sourceName="Loyalty Card">
  <pivotTables>
    <pivotTable tabId="18" name="TotalSales"/>
    <pivotTable tabId="19" name="TotalSales"/>
    <pivotTable tabId="20" name="TotalSales"/>
  </pivotTables>
  <data>
    <tabular pivotCacheId="8946976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D8E96B13-EB58-4AFA-A0FC-9A1E962F3286}" cache="Slicer_Size" caption="Size" columnCount="2" style="Greens" rowHeight="241300"/>
  <slicer name="Roast Type Name 1" xr10:uid="{4E095238-43FD-486F-AF00-4FE31DFF5570}" cache="Slicer_Roast_Type_Name" caption="Roast Type Name" columnCount="3" style="Greens" rowHeight="241300"/>
  <slicer name="Loyalty Card 1" xr10:uid="{9805783C-0605-4B47-8270-636571321273}" cache="Slicer_Loyalty_Card" caption="Loyalty Card" style="Green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2FAFAD5-5541-4274-9D24-3DCAD78EF558}" cache="Slicer_Size" caption="Size" columnCount="2" style="Greens" rowHeight="241300"/>
  <slicer name="Roast Type Name" xr10:uid="{286A13B0-6C1B-4351-9F52-CF63BE681A7A}" cache="Slicer_Roast_Type_Name" caption="Roast Type Name" columnCount="3" style="Greens" rowHeight="241300"/>
  <slicer name="Loyalty Card" xr10:uid="{060C8216-6B1F-4994-9F8E-9741DD8F264A}" cache="Slicer_Loyalty_Card" caption="Loyalty Card" style="Green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8C6C98-C71E-4DB2-AF5F-CFBE6E1805AF}" name="Orders" displayName="Orders" ref="A1:P1001" totalsRowShown="0" headerRowDxfId="5">
  <autoFilter ref="A1:P1001" xr:uid="{068C6C98-C71E-4DB2-AF5F-CFBE6E1805AF}"/>
  <tableColumns count="16">
    <tableColumn id="1" xr3:uid="{E73EB9B3-8E98-4FB4-83C6-27CBA78E4BF4}" name="Order ID" dataDxfId="15"/>
    <tableColumn id="2" xr3:uid="{90B51453-9B08-4F07-99E0-0042E51F7584}" name="Order Date" dataDxfId="14"/>
    <tableColumn id="3" xr3:uid="{938BE60A-8982-46C8-AE6A-1D90A4DBE5A7}" name="Customer ID" dataDxfId="13"/>
    <tableColumn id="4" xr3:uid="{1DED556A-0E7A-4551-A57F-07372F096968}" name="Product ID"/>
    <tableColumn id="5" xr3:uid="{067AF486-F9D1-4E38-AF22-E5AA8620FF20}" name="Quantity" dataDxfId="12"/>
    <tableColumn id="6" xr3:uid="{00205304-7DD3-4C1E-ABB6-6465F5949225}" name="Customer Name" dataDxfId="11">
      <calculatedColumnFormula>_xlfn.XLOOKUP(C2,customers!$A$1:$A$1001,customers!B$1:B$1001,,0)</calculatedColumnFormula>
    </tableColumn>
    <tableColumn id="7" xr3:uid="{D1A720F0-F740-4C03-B81D-03E6D3CE5F11}" name="Email" dataDxfId="10">
      <calculatedColumnFormula>IF(_xlfn.XLOOKUP(C2,customers!$A$1:$A$1001,customers!$C$1:$C$1001,,0)=0,"",(_xlfn.XLOOKUP(C2,customers!$A$1:$A$1001,customers!$C$1:$C$1001,,0)))</calculatedColumnFormula>
    </tableColumn>
    <tableColumn id="8" xr3:uid="{E28553A3-B786-4A3F-9C13-675FC4A96E97}" name="Country" dataDxfId="9">
      <calculatedColumnFormula>_xlfn.XLOOKUP(C2,customers!$A$1:$A$1001,customers!$G$1:$G$1001,,0)</calculatedColumnFormula>
    </tableColumn>
    <tableColumn id="9" xr3:uid="{95D412C7-0D8A-45A8-8667-AEC0C19AA066}" name="Coffee Type">
      <calculatedColumnFormula>INDEX(products!$A$1:$G$49,MATCH(orders!$D2,products!$A$1:$A$49,0),MATCH(orders!I$1,products!$A$1:$G$1,0))</calculatedColumnFormula>
    </tableColumn>
    <tableColumn id="10" xr3:uid="{B0808379-36D7-43E1-B90E-B00BF7A47CC2}" name="Roast Type">
      <calculatedColumnFormula>INDEX(products!$A$1:$G$49,MATCH(orders!$D2,products!$A$1:$A$49,0),MATCH(orders!J$1,products!$A$1:$G$1,0))</calculatedColumnFormula>
    </tableColumn>
    <tableColumn id="11" xr3:uid="{62DE0B6B-5262-4EF6-AB13-A848E96CCB98}" name="Size" dataDxfId="8">
      <calculatedColumnFormula>INDEX(products!$A$1:$G$49,MATCH(orders!$D2,products!$A$1:$A$49,0),MATCH(orders!K$1,products!$A$1:$G$1,0))</calculatedColumnFormula>
    </tableColumn>
    <tableColumn id="12" xr3:uid="{70B7C49C-12BB-4DBC-AD33-53540EEE0851}" name="Unit Price" dataDxfId="7" dataCellStyle="Currency">
      <calculatedColumnFormula>INDEX(products!$A$1:$G$49,MATCH(orders!$D2,products!$A$1:$A$49,0),MATCH(orders!L$1,products!$A$1:$G$1,0))</calculatedColumnFormula>
    </tableColumn>
    <tableColumn id="13" xr3:uid="{19C3178E-3C3F-424D-8419-EE0C0C1E94D5}" name="Sales" dataDxfId="6" dataCellStyle="Currency">
      <calculatedColumnFormula>L2*E2</calculatedColumnFormula>
    </tableColumn>
    <tableColumn id="14" xr3:uid="{6624FC31-68E0-4598-8A7B-7440508BC71B}" name="Coffee Type Name">
      <calculatedColumnFormula>IF(I2="Rob","Robusta",IF(I2="Exc","Excelsa",IF(I2="Ara", "Arabica", IF(I2="Lib","Liberica",""))))</calculatedColumnFormula>
    </tableColumn>
    <tableColumn id="15" xr3:uid="{13574280-1D13-4D66-8EEB-FCF99441F17B}" name="Roast Type Name">
      <calculatedColumnFormula>IF(J2="M", "Medium", IF(J2="L", "Light",IF(J2="D", "Dark","")))</calculatedColumnFormula>
    </tableColumn>
    <tableColumn id="16" xr3:uid="{C5CE4C16-14B5-4FA2-8B80-02019969A189}" name="Loyalty Card" dataDxfId="2">
      <calculatedColumnFormula>_xlfn.XLOOKUP(Orders[[#This Row],[Customer ID]],customers!$A$1:$A$1001,customers!$I$1:$I$1001,,0)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606929-7623-4E8E-90E6-30C8557B63BF}" sourceName="Order Date">
  <pivotTables>
    <pivotTable tabId="18" name="TotalSales"/>
    <pivotTable tabId="19" name="TotalSales"/>
    <pivotTable tabId="20" name="TotalSales"/>
  </pivotTables>
  <state minimalRefreshVersion="6" lastRefreshVersion="6" pivotCacheId="89469763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BC27CB0-C939-489A-AD94-4928A38A7C90}" cache="NativeTimeline_Order_Date" caption="Order Date" level="2" selectionLevel="2" scrollPosition="2021-01-08T00:00:00" style="Green"/>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1037B6-B207-47BE-9B3C-AFD609ECD016}" cache="NativeTimeline_Order_Date" caption="Order Date" level="2" selectionLevel="2" scrollPosition="2022-05-19T00:00:00" style="Green"/>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7D7C-975C-40B3-85F2-7017DA8E1F86}">
  <dimension ref="A1:A17"/>
  <sheetViews>
    <sheetView showGridLines="0" showRowColHeaders="0" tabSelected="1" zoomScale="82" zoomScaleNormal="85" workbookViewId="0">
      <selection activeCell="D58" sqref="D58"/>
    </sheetView>
  </sheetViews>
  <sheetFormatPr defaultRowHeight="14.25" x14ac:dyDescent="0.45"/>
  <cols>
    <col min="1" max="1" width="1.59765625" customWidth="1"/>
    <col min="19" max="19" width="2.19921875" customWidth="1"/>
    <col min="23" max="23" width="8.33203125" customWidth="1"/>
    <col min="24" max="24" width="8.06640625" customWidth="1"/>
    <col min="26" max="26" width="10.73046875" customWidth="1"/>
  </cols>
  <sheetData>
    <row r="1" ht="5" customHeight="1" x14ac:dyDescent="0.45"/>
    <row r="6" ht="8.65" customHeight="1" x14ac:dyDescent="0.45"/>
    <row r="11" ht="7.9" customHeight="1" x14ac:dyDescent="0.45"/>
    <row r="17" ht="8.6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A4BC-AF08-440C-87F3-B5DE7731E581}">
  <dimension ref="A3:G53"/>
  <sheetViews>
    <sheetView topLeftCell="E1" workbookViewId="0">
      <selection activeCell="R26" sqref="R26"/>
    </sheetView>
  </sheetViews>
  <sheetFormatPr defaultRowHeight="14.25" x14ac:dyDescent="0.45"/>
  <cols>
    <col min="1" max="1" width="12.06640625" bestFit="1" customWidth="1"/>
    <col min="2" max="2" width="20.06640625" bestFit="1" customWidth="1"/>
    <col min="3" max="6" width="17.9296875" bestFit="1" customWidth="1"/>
    <col min="7" max="7" width="10.19921875" bestFit="1" customWidth="1"/>
  </cols>
  <sheetData>
    <row r="3" spans="1:7" x14ac:dyDescent="0.45">
      <c r="A3" s="6" t="s">
        <v>6225</v>
      </c>
      <c r="C3" s="6" t="s">
        <v>6196</v>
      </c>
    </row>
    <row r="4" spans="1:7" x14ac:dyDescent="0.45">
      <c r="A4" s="6" t="s">
        <v>6215</v>
      </c>
      <c r="B4" s="6" t="s">
        <v>6216</v>
      </c>
      <c r="C4" t="s">
        <v>6221</v>
      </c>
      <c r="D4" t="s">
        <v>6222</v>
      </c>
      <c r="E4" t="s">
        <v>6223</v>
      </c>
      <c r="F4" t="s">
        <v>6224</v>
      </c>
      <c r="G4" t="s">
        <v>6198</v>
      </c>
    </row>
    <row r="5" spans="1:7" x14ac:dyDescent="0.45">
      <c r="A5" t="s">
        <v>6199</v>
      </c>
      <c r="B5" t="s">
        <v>6203</v>
      </c>
      <c r="C5" s="7">
        <v>186.85499999999999</v>
      </c>
      <c r="D5" s="7">
        <v>305.97000000000003</v>
      </c>
      <c r="E5" s="7">
        <v>213.15999999999997</v>
      </c>
      <c r="F5" s="7">
        <v>123</v>
      </c>
      <c r="G5" s="7">
        <v>828.98500000000001</v>
      </c>
    </row>
    <row r="6" spans="1:7" x14ac:dyDescent="0.45">
      <c r="B6" t="s">
        <v>6204</v>
      </c>
      <c r="C6" s="7">
        <v>251.96499999999997</v>
      </c>
      <c r="D6" s="7">
        <v>129.46</v>
      </c>
      <c r="E6" s="7">
        <v>434.03999999999996</v>
      </c>
      <c r="F6" s="7">
        <v>171.93999999999997</v>
      </c>
      <c r="G6" s="7">
        <v>987.40499999999986</v>
      </c>
    </row>
    <row r="7" spans="1:7" x14ac:dyDescent="0.45">
      <c r="B7" t="s">
        <v>6205</v>
      </c>
      <c r="C7" s="7">
        <v>224.94499999999999</v>
      </c>
      <c r="D7" s="7">
        <v>349.12</v>
      </c>
      <c r="E7" s="7">
        <v>321.04000000000002</v>
      </c>
      <c r="F7" s="7">
        <v>126.035</v>
      </c>
      <c r="G7" s="7">
        <v>1021.14</v>
      </c>
    </row>
    <row r="8" spans="1:7" x14ac:dyDescent="0.45">
      <c r="B8" t="s">
        <v>6206</v>
      </c>
      <c r="C8" s="7">
        <v>307.12</v>
      </c>
      <c r="D8" s="7">
        <v>681.07499999999993</v>
      </c>
      <c r="E8" s="7">
        <v>533.70499999999993</v>
      </c>
      <c r="F8" s="7">
        <v>158.85</v>
      </c>
      <c r="G8" s="7">
        <v>1680.7499999999998</v>
      </c>
    </row>
    <row r="9" spans="1:7" x14ac:dyDescent="0.45">
      <c r="B9" t="s">
        <v>6207</v>
      </c>
      <c r="C9" s="7">
        <v>53.664999999999992</v>
      </c>
      <c r="D9" s="7">
        <v>83.025000000000006</v>
      </c>
      <c r="E9" s="7">
        <v>193.83499999999998</v>
      </c>
      <c r="F9" s="7">
        <v>68.039999999999992</v>
      </c>
      <c r="G9" s="7">
        <v>398.56499999999994</v>
      </c>
    </row>
    <row r="10" spans="1:7" x14ac:dyDescent="0.45">
      <c r="B10" t="s">
        <v>6208</v>
      </c>
      <c r="C10" s="7">
        <v>163.01999999999998</v>
      </c>
      <c r="D10" s="7">
        <v>678.3599999999999</v>
      </c>
      <c r="E10" s="7">
        <v>171.04500000000002</v>
      </c>
      <c r="F10" s="7">
        <v>372.255</v>
      </c>
      <c r="G10" s="7">
        <v>1384.6799999999998</v>
      </c>
    </row>
    <row r="11" spans="1:7" x14ac:dyDescent="0.45">
      <c r="B11" t="s">
        <v>6209</v>
      </c>
      <c r="C11" s="7">
        <v>345.02</v>
      </c>
      <c r="D11" s="7">
        <v>273.86999999999995</v>
      </c>
      <c r="E11" s="7">
        <v>184.12999999999997</v>
      </c>
      <c r="F11" s="7">
        <v>201.11499999999998</v>
      </c>
      <c r="G11" s="7">
        <v>1004.1349999999999</v>
      </c>
    </row>
    <row r="12" spans="1:7" x14ac:dyDescent="0.45">
      <c r="B12" t="s">
        <v>6210</v>
      </c>
      <c r="C12" s="7">
        <v>334.89</v>
      </c>
      <c r="D12" s="7">
        <v>70.95</v>
      </c>
      <c r="E12" s="7">
        <v>134.23000000000002</v>
      </c>
      <c r="F12" s="7">
        <v>166.27499999999998</v>
      </c>
      <c r="G12" s="7">
        <v>706.34499999999991</v>
      </c>
    </row>
    <row r="13" spans="1:7" x14ac:dyDescent="0.45">
      <c r="B13" t="s">
        <v>6211</v>
      </c>
      <c r="C13" s="7">
        <v>178.70999999999998</v>
      </c>
      <c r="D13" s="7">
        <v>166.1</v>
      </c>
      <c r="E13" s="7">
        <v>439.30999999999995</v>
      </c>
      <c r="F13" s="7">
        <v>492.9</v>
      </c>
      <c r="G13" s="7">
        <v>1277.02</v>
      </c>
    </row>
    <row r="14" spans="1:7" x14ac:dyDescent="0.45">
      <c r="B14" t="s">
        <v>6212</v>
      </c>
      <c r="C14" s="7">
        <v>301.98500000000001</v>
      </c>
      <c r="D14" s="7">
        <v>153.76499999999999</v>
      </c>
      <c r="E14" s="7">
        <v>215.55499999999998</v>
      </c>
      <c r="F14" s="7">
        <v>213.66499999999999</v>
      </c>
      <c r="G14" s="7">
        <v>884.96999999999991</v>
      </c>
    </row>
    <row r="15" spans="1:7" x14ac:dyDescent="0.45">
      <c r="B15" t="s">
        <v>6213</v>
      </c>
      <c r="C15" s="7">
        <v>312.83499999999998</v>
      </c>
      <c r="D15" s="7">
        <v>63.249999999999993</v>
      </c>
      <c r="E15" s="7">
        <v>350.89500000000004</v>
      </c>
      <c r="F15" s="7">
        <v>96.405000000000001</v>
      </c>
      <c r="G15" s="7">
        <v>823.38499999999999</v>
      </c>
    </row>
    <row r="16" spans="1:7" x14ac:dyDescent="0.45">
      <c r="B16" t="s">
        <v>6214</v>
      </c>
      <c r="C16" s="7">
        <v>265.62</v>
      </c>
      <c r="D16" s="7">
        <v>526.51499999999987</v>
      </c>
      <c r="E16" s="7">
        <v>187.06</v>
      </c>
      <c r="F16" s="7">
        <v>210.58999999999997</v>
      </c>
      <c r="G16" s="7">
        <v>1189.7849999999999</v>
      </c>
    </row>
    <row r="17" spans="1:7" x14ac:dyDescent="0.45">
      <c r="A17" t="s">
        <v>6217</v>
      </c>
      <c r="C17" s="7">
        <v>2926.63</v>
      </c>
      <c r="D17" s="7">
        <v>3481.4599999999996</v>
      </c>
      <c r="E17" s="7">
        <v>3378.0049999999997</v>
      </c>
      <c r="F17" s="7">
        <v>2401.0700000000002</v>
      </c>
      <c r="G17" s="7">
        <v>12187.164999999999</v>
      </c>
    </row>
    <row r="18" spans="1:7" x14ac:dyDescent="0.45">
      <c r="A18" t="s">
        <v>6200</v>
      </c>
      <c r="B18" t="s">
        <v>6203</v>
      </c>
      <c r="C18" s="7">
        <v>47.25</v>
      </c>
      <c r="D18" s="7">
        <v>65.805000000000007</v>
      </c>
      <c r="E18" s="7">
        <v>274.67500000000001</v>
      </c>
      <c r="F18" s="7">
        <v>179.22</v>
      </c>
      <c r="G18" s="7">
        <v>566.95000000000005</v>
      </c>
    </row>
    <row r="19" spans="1:7" x14ac:dyDescent="0.45">
      <c r="B19" t="s">
        <v>6204</v>
      </c>
      <c r="C19" s="7">
        <v>745.44999999999993</v>
      </c>
      <c r="D19" s="7">
        <v>428.88499999999999</v>
      </c>
      <c r="E19" s="7">
        <v>194.17499999999998</v>
      </c>
      <c r="F19" s="7">
        <v>429.82999999999993</v>
      </c>
      <c r="G19" s="7">
        <v>1798.34</v>
      </c>
    </row>
    <row r="20" spans="1:7" x14ac:dyDescent="0.45">
      <c r="B20" t="s">
        <v>6205</v>
      </c>
      <c r="C20" s="7">
        <v>130.47</v>
      </c>
      <c r="D20" s="7">
        <v>271.48500000000001</v>
      </c>
      <c r="E20" s="7">
        <v>281.20499999999998</v>
      </c>
      <c r="F20" s="7">
        <v>231.63000000000002</v>
      </c>
      <c r="G20" s="7">
        <v>914.79000000000008</v>
      </c>
    </row>
    <row r="21" spans="1:7" x14ac:dyDescent="0.45">
      <c r="B21" t="s">
        <v>6206</v>
      </c>
      <c r="C21" s="7">
        <v>27</v>
      </c>
      <c r="D21" s="7">
        <v>347.26</v>
      </c>
      <c r="E21" s="7">
        <v>147.51</v>
      </c>
      <c r="F21" s="7">
        <v>240.04</v>
      </c>
      <c r="G21" s="7">
        <v>761.81</v>
      </c>
    </row>
    <row r="22" spans="1:7" x14ac:dyDescent="0.45">
      <c r="B22" t="s">
        <v>6207</v>
      </c>
      <c r="C22" s="7">
        <v>255.11499999999995</v>
      </c>
      <c r="D22" s="7">
        <v>541.73</v>
      </c>
      <c r="E22" s="7">
        <v>83.43</v>
      </c>
      <c r="F22" s="7">
        <v>59.079999999999991</v>
      </c>
      <c r="G22" s="7">
        <v>939.35500000000013</v>
      </c>
    </row>
    <row r="23" spans="1:7" x14ac:dyDescent="0.45">
      <c r="B23" t="s">
        <v>6208</v>
      </c>
      <c r="C23" s="7">
        <v>584.78999999999985</v>
      </c>
      <c r="D23" s="7">
        <v>357.42999999999995</v>
      </c>
      <c r="E23" s="7">
        <v>355.34</v>
      </c>
      <c r="F23" s="7">
        <v>140.88</v>
      </c>
      <c r="G23" s="7">
        <v>1438.4399999999996</v>
      </c>
    </row>
    <row r="24" spans="1:7" x14ac:dyDescent="0.45">
      <c r="B24" t="s">
        <v>6209</v>
      </c>
      <c r="C24" s="7">
        <v>430.62</v>
      </c>
      <c r="D24" s="7">
        <v>227.42500000000001</v>
      </c>
      <c r="E24" s="7">
        <v>236.315</v>
      </c>
      <c r="F24" s="7">
        <v>414.58499999999992</v>
      </c>
      <c r="G24" s="7">
        <v>1308.9450000000002</v>
      </c>
    </row>
    <row r="25" spans="1:7" x14ac:dyDescent="0.45">
      <c r="B25" t="s">
        <v>6210</v>
      </c>
      <c r="C25" s="7">
        <v>22.5</v>
      </c>
      <c r="D25" s="7">
        <v>77.72</v>
      </c>
      <c r="E25" s="7">
        <v>60.5</v>
      </c>
      <c r="F25" s="7">
        <v>139.67999999999998</v>
      </c>
      <c r="G25" s="7">
        <v>300.39999999999998</v>
      </c>
    </row>
    <row r="26" spans="1:7" x14ac:dyDescent="0.45">
      <c r="B26" t="s">
        <v>6211</v>
      </c>
      <c r="C26" s="7">
        <v>126.14999999999999</v>
      </c>
      <c r="D26" s="7">
        <v>195.11</v>
      </c>
      <c r="E26" s="7">
        <v>89.13</v>
      </c>
      <c r="F26" s="7">
        <v>302.65999999999997</v>
      </c>
      <c r="G26" s="7">
        <v>713.05</v>
      </c>
    </row>
    <row r="27" spans="1:7" x14ac:dyDescent="0.45">
      <c r="B27" t="s">
        <v>6212</v>
      </c>
      <c r="C27" s="7">
        <v>376.03</v>
      </c>
      <c r="D27" s="7">
        <v>523.24</v>
      </c>
      <c r="E27" s="7">
        <v>440.96499999999997</v>
      </c>
      <c r="F27" s="7">
        <v>174.46999999999997</v>
      </c>
      <c r="G27" s="7">
        <v>1514.7049999999999</v>
      </c>
    </row>
    <row r="28" spans="1:7" x14ac:dyDescent="0.45">
      <c r="B28" t="s">
        <v>6213</v>
      </c>
      <c r="C28" s="7">
        <v>515.17999999999995</v>
      </c>
      <c r="D28" s="7">
        <v>142.56</v>
      </c>
      <c r="E28" s="7">
        <v>347.03999999999996</v>
      </c>
      <c r="F28" s="7">
        <v>104.08499999999999</v>
      </c>
      <c r="G28" s="7">
        <v>1108.865</v>
      </c>
    </row>
    <row r="29" spans="1:7" x14ac:dyDescent="0.45">
      <c r="B29" t="s">
        <v>6214</v>
      </c>
      <c r="C29" s="7">
        <v>95.859999999999985</v>
      </c>
      <c r="D29" s="7">
        <v>484.76</v>
      </c>
      <c r="E29" s="7">
        <v>94.17</v>
      </c>
      <c r="F29" s="7">
        <v>77.10499999999999</v>
      </c>
      <c r="G29" s="7">
        <v>751.89499999999998</v>
      </c>
    </row>
    <row r="30" spans="1:7" x14ac:dyDescent="0.45">
      <c r="A30" t="s">
        <v>6218</v>
      </c>
      <c r="C30" s="7">
        <v>3356.415</v>
      </c>
      <c r="D30" s="7">
        <v>3663.41</v>
      </c>
      <c r="E30" s="7">
        <v>2604.4550000000004</v>
      </c>
      <c r="F30" s="7">
        <v>2493.2649999999999</v>
      </c>
      <c r="G30" s="7">
        <v>12117.544999999998</v>
      </c>
    </row>
    <row r="31" spans="1:7" x14ac:dyDescent="0.45">
      <c r="A31" t="s">
        <v>6201</v>
      </c>
      <c r="B31" t="s">
        <v>6203</v>
      </c>
      <c r="C31" s="7">
        <v>258.34500000000003</v>
      </c>
      <c r="D31" s="7">
        <v>139.625</v>
      </c>
      <c r="E31" s="7">
        <v>279.52000000000004</v>
      </c>
      <c r="F31" s="7">
        <v>160.19499999999999</v>
      </c>
      <c r="G31" s="7">
        <v>837.68499999999995</v>
      </c>
    </row>
    <row r="32" spans="1:7" x14ac:dyDescent="0.45">
      <c r="B32" t="s">
        <v>6204</v>
      </c>
      <c r="C32" s="7">
        <v>342.2</v>
      </c>
      <c r="D32" s="7">
        <v>284.24999999999994</v>
      </c>
      <c r="E32" s="7">
        <v>251.83</v>
      </c>
      <c r="F32" s="7">
        <v>80.550000000000011</v>
      </c>
      <c r="G32" s="7">
        <v>958.82999999999993</v>
      </c>
    </row>
    <row r="33" spans="1:7" x14ac:dyDescent="0.45">
      <c r="B33" t="s">
        <v>6205</v>
      </c>
      <c r="C33" s="7">
        <v>418.30499999999989</v>
      </c>
      <c r="D33" s="7">
        <v>468.125</v>
      </c>
      <c r="E33" s="7">
        <v>405.05500000000006</v>
      </c>
      <c r="F33" s="7">
        <v>253.15499999999997</v>
      </c>
      <c r="G33" s="7">
        <v>1544.6399999999999</v>
      </c>
    </row>
    <row r="34" spans="1:7" x14ac:dyDescent="0.45">
      <c r="B34" t="s">
        <v>6206</v>
      </c>
      <c r="C34" s="7">
        <v>102.32999999999998</v>
      </c>
      <c r="D34" s="7">
        <v>242.14000000000001</v>
      </c>
      <c r="E34" s="7">
        <v>554.875</v>
      </c>
      <c r="F34" s="7">
        <v>106.23999999999998</v>
      </c>
      <c r="G34" s="7">
        <v>1005.585</v>
      </c>
    </row>
    <row r="35" spans="1:7" x14ac:dyDescent="0.45">
      <c r="B35" t="s">
        <v>6207</v>
      </c>
      <c r="C35" s="7">
        <v>234.71999999999997</v>
      </c>
      <c r="D35" s="7">
        <v>133.08000000000001</v>
      </c>
      <c r="E35" s="7">
        <v>267.2</v>
      </c>
      <c r="F35" s="7">
        <v>272.68999999999994</v>
      </c>
      <c r="G35" s="7">
        <v>907.68999999999994</v>
      </c>
    </row>
    <row r="36" spans="1:7" x14ac:dyDescent="0.45">
      <c r="B36" t="s">
        <v>6208</v>
      </c>
      <c r="C36" s="7">
        <v>430.39</v>
      </c>
      <c r="D36" s="7">
        <v>136.20500000000001</v>
      </c>
      <c r="E36" s="7">
        <v>209.6</v>
      </c>
      <c r="F36" s="7">
        <v>88.334999999999994</v>
      </c>
      <c r="G36" s="7">
        <v>864.53000000000009</v>
      </c>
    </row>
    <row r="37" spans="1:7" x14ac:dyDescent="0.45">
      <c r="B37" t="s">
        <v>6209</v>
      </c>
      <c r="C37" s="7">
        <v>109.005</v>
      </c>
      <c r="D37" s="7">
        <v>393.57499999999999</v>
      </c>
      <c r="E37" s="7">
        <v>61.034999999999997</v>
      </c>
      <c r="F37" s="7">
        <v>199.48999999999998</v>
      </c>
      <c r="G37" s="7">
        <v>763.10500000000002</v>
      </c>
    </row>
    <row r="38" spans="1:7" x14ac:dyDescent="0.45">
      <c r="B38" t="s">
        <v>6210</v>
      </c>
      <c r="C38" s="7">
        <v>287.52499999999998</v>
      </c>
      <c r="D38" s="7">
        <v>288.67</v>
      </c>
      <c r="E38" s="7">
        <v>125.58</v>
      </c>
      <c r="F38" s="7">
        <v>374.13499999999999</v>
      </c>
      <c r="G38" s="7">
        <v>1075.9099999999999</v>
      </c>
    </row>
    <row r="39" spans="1:7" x14ac:dyDescent="0.45">
      <c r="B39" t="s">
        <v>6211</v>
      </c>
      <c r="C39" s="7">
        <v>840.92999999999984</v>
      </c>
      <c r="D39" s="7">
        <v>409.875</v>
      </c>
      <c r="E39" s="7">
        <v>171.32999999999998</v>
      </c>
      <c r="F39" s="7">
        <v>221.43999999999997</v>
      </c>
      <c r="G39" s="7">
        <v>1643.5749999999998</v>
      </c>
    </row>
    <row r="40" spans="1:7" x14ac:dyDescent="0.45">
      <c r="B40" t="s">
        <v>6212</v>
      </c>
      <c r="C40" s="7">
        <v>299.07</v>
      </c>
      <c r="D40" s="7">
        <v>260.32499999999999</v>
      </c>
      <c r="E40" s="7">
        <v>584.64</v>
      </c>
      <c r="F40" s="7">
        <v>256.36500000000001</v>
      </c>
      <c r="G40" s="7">
        <v>1400.3999999999999</v>
      </c>
    </row>
    <row r="41" spans="1:7" x14ac:dyDescent="0.45">
      <c r="B41" t="s">
        <v>6213</v>
      </c>
      <c r="C41" s="7">
        <v>323.32499999999999</v>
      </c>
      <c r="D41" s="7">
        <v>565.57000000000005</v>
      </c>
      <c r="E41" s="7">
        <v>537.80999999999995</v>
      </c>
      <c r="F41" s="7">
        <v>189.47499999999999</v>
      </c>
      <c r="G41" s="7">
        <v>1616.1799999999998</v>
      </c>
    </row>
    <row r="42" spans="1:7" x14ac:dyDescent="0.45">
      <c r="B42" t="s">
        <v>6214</v>
      </c>
      <c r="C42" s="7">
        <v>399.48499999999996</v>
      </c>
      <c r="D42" s="7">
        <v>148.19999999999999</v>
      </c>
      <c r="E42" s="7">
        <v>388.21999999999997</v>
      </c>
      <c r="F42" s="7">
        <v>212.07499999999999</v>
      </c>
      <c r="G42" s="7">
        <v>1147.98</v>
      </c>
    </row>
    <row r="43" spans="1:7" x14ac:dyDescent="0.45">
      <c r="A43" t="s">
        <v>6219</v>
      </c>
      <c r="C43" s="7">
        <v>4045.63</v>
      </c>
      <c r="D43" s="7">
        <v>3469.64</v>
      </c>
      <c r="E43" s="7">
        <v>3836.6949999999997</v>
      </c>
      <c r="F43" s="7">
        <v>2414.145</v>
      </c>
      <c r="G43" s="7">
        <v>13766.109999999999</v>
      </c>
    </row>
    <row r="44" spans="1:7" x14ac:dyDescent="0.45">
      <c r="A44" t="s">
        <v>6202</v>
      </c>
      <c r="B44" t="s">
        <v>6203</v>
      </c>
      <c r="C44" s="7">
        <v>112.69499999999999</v>
      </c>
      <c r="D44" s="7">
        <v>166.32</v>
      </c>
      <c r="E44" s="7">
        <v>843.71499999999992</v>
      </c>
      <c r="F44" s="7">
        <v>146.685</v>
      </c>
      <c r="G44" s="7">
        <v>1269.415</v>
      </c>
    </row>
    <row r="45" spans="1:7" x14ac:dyDescent="0.45">
      <c r="B45" t="s">
        <v>6204</v>
      </c>
      <c r="C45" s="7">
        <v>114.87999999999998</v>
      </c>
      <c r="D45" s="7">
        <v>133.815</v>
      </c>
      <c r="E45" s="7">
        <v>91.175000000000011</v>
      </c>
      <c r="F45" s="7">
        <v>53.759999999999991</v>
      </c>
      <c r="G45" s="7">
        <v>393.63</v>
      </c>
    </row>
    <row r="46" spans="1:7" x14ac:dyDescent="0.45">
      <c r="B46" t="s">
        <v>6205</v>
      </c>
      <c r="C46" s="7">
        <v>277.76</v>
      </c>
      <c r="D46" s="7">
        <v>175.41</v>
      </c>
      <c r="E46" s="7">
        <v>462.50999999999993</v>
      </c>
      <c r="F46" s="7">
        <v>399.52499999999998</v>
      </c>
      <c r="G46" s="7">
        <v>1315.2049999999999</v>
      </c>
    </row>
    <row r="47" spans="1:7" x14ac:dyDescent="0.45">
      <c r="B47" t="s">
        <v>6206</v>
      </c>
      <c r="C47" s="7">
        <v>197.89499999999998</v>
      </c>
      <c r="D47" s="7">
        <v>289.755</v>
      </c>
      <c r="E47" s="7">
        <v>88.545000000000002</v>
      </c>
      <c r="F47" s="7">
        <v>200.25499999999997</v>
      </c>
      <c r="G47" s="7">
        <v>776.44999999999993</v>
      </c>
    </row>
    <row r="48" spans="1:7" x14ac:dyDescent="0.45">
      <c r="B48" t="s">
        <v>6207</v>
      </c>
      <c r="C48" s="7">
        <v>193.11499999999998</v>
      </c>
      <c r="D48" s="7">
        <v>212.49499999999998</v>
      </c>
      <c r="E48" s="7">
        <v>292.29000000000002</v>
      </c>
      <c r="F48" s="7">
        <v>304.46999999999997</v>
      </c>
      <c r="G48" s="7">
        <v>1002.3699999999999</v>
      </c>
    </row>
    <row r="49" spans="1:7" x14ac:dyDescent="0.45">
      <c r="B49" t="s">
        <v>6208</v>
      </c>
      <c r="C49" s="7">
        <v>179.79</v>
      </c>
      <c r="D49" s="7">
        <v>426.2</v>
      </c>
      <c r="E49" s="7">
        <v>170.08999999999997</v>
      </c>
      <c r="F49" s="7">
        <v>379.31</v>
      </c>
      <c r="G49" s="7">
        <v>1155.3899999999999</v>
      </c>
    </row>
    <row r="50" spans="1:7" x14ac:dyDescent="0.45">
      <c r="B50" t="s">
        <v>6209</v>
      </c>
      <c r="C50" s="7">
        <v>247.28999999999996</v>
      </c>
      <c r="D50" s="7">
        <v>246.685</v>
      </c>
      <c r="E50" s="7">
        <v>271.05499999999995</v>
      </c>
      <c r="F50" s="7">
        <v>141.69999999999999</v>
      </c>
      <c r="G50" s="7">
        <v>906.73</v>
      </c>
    </row>
    <row r="51" spans="1:7" x14ac:dyDescent="0.45">
      <c r="B51" t="s">
        <v>6210</v>
      </c>
      <c r="C51" s="7">
        <v>116.39499999999998</v>
      </c>
      <c r="D51" s="7">
        <v>41.25</v>
      </c>
      <c r="E51" s="7">
        <v>15.54</v>
      </c>
      <c r="F51" s="7">
        <v>71.06</v>
      </c>
      <c r="G51" s="7">
        <v>244.24499999999998</v>
      </c>
    </row>
    <row r="52" spans="1:7" x14ac:dyDescent="0.45">
      <c r="A52" t="s">
        <v>6220</v>
      </c>
      <c r="C52" s="7">
        <v>1439.82</v>
      </c>
      <c r="D52" s="7">
        <v>1691.9299999999998</v>
      </c>
      <c r="E52" s="7">
        <v>2234.9199999999996</v>
      </c>
      <c r="F52" s="7">
        <v>1696.7649999999999</v>
      </c>
      <c r="G52" s="7">
        <v>7063.4349999999986</v>
      </c>
    </row>
    <row r="53" spans="1:7" x14ac:dyDescent="0.45">
      <c r="A53" t="s">
        <v>6198</v>
      </c>
      <c r="C53" s="7">
        <v>11768.495000000003</v>
      </c>
      <c r="D53" s="7">
        <v>12306.440000000002</v>
      </c>
      <c r="E53" s="7">
        <v>12054.075000000003</v>
      </c>
      <c r="F53" s="7">
        <v>9005.244999999999</v>
      </c>
      <c r="G53"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A713-7F0D-4237-AB51-A8869035AD8B}">
  <dimension ref="A3:B7"/>
  <sheetViews>
    <sheetView topLeftCell="D1" workbookViewId="0">
      <selection activeCell="G22" sqref="G22"/>
    </sheetView>
  </sheetViews>
  <sheetFormatPr defaultRowHeight="14.25" x14ac:dyDescent="0.45"/>
  <cols>
    <col min="1" max="1" width="13.53125" bestFit="1" customWidth="1"/>
    <col min="2" max="3" width="11.06640625" bestFit="1" customWidth="1"/>
    <col min="4" max="6" width="17.9296875" bestFit="1" customWidth="1"/>
    <col min="7" max="7" width="10.19921875" bestFit="1" customWidth="1"/>
  </cols>
  <sheetData>
    <row r="3" spans="1:2" x14ac:dyDescent="0.45">
      <c r="A3" s="6" t="s">
        <v>7</v>
      </c>
      <c r="B3" t="s">
        <v>6225</v>
      </c>
    </row>
    <row r="4" spans="1:2" x14ac:dyDescent="0.45">
      <c r="A4" t="s">
        <v>28</v>
      </c>
      <c r="B4" s="8">
        <v>2798.5050000000001</v>
      </c>
    </row>
    <row r="5" spans="1:2" x14ac:dyDescent="0.45">
      <c r="A5" t="s">
        <v>318</v>
      </c>
      <c r="B5" s="8">
        <v>6696.8649999999989</v>
      </c>
    </row>
    <row r="6" spans="1:2" x14ac:dyDescent="0.45">
      <c r="A6" t="s">
        <v>19</v>
      </c>
      <c r="B6" s="8">
        <v>35638.88499999998</v>
      </c>
    </row>
    <row r="7" spans="1:2" x14ac:dyDescent="0.45">
      <c r="A7" t="s">
        <v>6198</v>
      </c>
      <c r="B7" s="8">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25B7-BCC8-4CCA-8985-E73DA207EC98}">
  <dimension ref="A3:B9"/>
  <sheetViews>
    <sheetView topLeftCell="D1" workbookViewId="0">
      <selection activeCell="F29" sqref="F29"/>
    </sheetView>
  </sheetViews>
  <sheetFormatPr defaultRowHeight="14.25" x14ac:dyDescent="0.45"/>
  <cols>
    <col min="1" max="1" width="16.1328125" bestFit="1" customWidth="1"/>
    <col min="2" max="3" width="11.06640625" bestFit="1" customWidth="1"/>
    <col min="4" max="6" width="17.9296875" bestFit="1" customWidth="1"/>
    <col min="7" max="7" width="10.19921875" bestFit="1" customWidth="1"/>
  </cols>
  <sheetData>
    <row r="3" spans="1:2" x14ac:dyDescent="0.45">
      <c r="A3" s="6" t="s">
        <v>4</v>
      </c>
      <c r="B3" t="s">
        <v>6225</v>
      </c>
    </row>
    <row r="4" spans="1:2" x14ac:dyDescent="0.45">
      <c r="A4" t="s">
        <v>3753</v>
      </c>
      <c r="B4" s="8">
        <v>278.01</v>
      </c>
    </row>
    <row r="5" spans="1:2" x14ac:dyDescent="0.45">
      <c r="A5" t="s">
        <v>1598</v>
      </c>
      <c r="B5" s="8">
        <v>281.67499999999995</v>
      </c>
    </row>
    <row r="6" spans="1:2" x14ac:dyDescent="0.45">
      <c r="A6" t="s">
        <v>2587</v>
      </c>
      <c r="B6" s="8">
        <v>289.11</v>
      </c>
    </row>
    <row r="7" spans="1:2" x14ac:dyDescent="0.45">
      <c r="A7" t="s">
        <v>5765</v>
      </c>
      <c r="B7" s="8">
        <v>307.04499999999996</v>
      </c>
    </row>
    <row r="8" spans="1:2" x14ac:dyDescent="0.45">
      <c r="A8" t="s">
        <v>5114</v>
      </c>
      <c r="B8" s="8">
        <v>317.06999999999994</v>
      </c>
    </row>
    <row r="9" spans="1:2" x14ac:dyDescent="0.45">
      <c r="A9" t="s">
        <v>6198</v>
      </c>
      <c r="B9"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4" zoomScaleNormal="100" workbookViewId="0">
      <selection activeCell="F1" sqref="F1:P1"/>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15.73046875" customWidth="1"/>
    <col min="7" max="7" width="34.86328125" bestFit="1" customWidth="1"/>
    <col min="8" max="8" width="11.53125" bestFit="1" customWidth="1"/>
    <col min="9" max="9" width="12.265625" customWidth="1"/>
    <col min="10" max="10" width="11.53125" customWidth="1"/>
    <col min="11" max="11" width="5.796875" customWidth="1"/>
    <col min="12" max="12" width="10.46484375" customWidth="1"/>
    <col min="13" max="13" width="8.9296875" customWidth="1"/>
    <col min="14" max="14" width="17.53125" customWidth="1"/>
    <col min="15" max="15" width="16.796875" customWidth="1"/>
    <col min="16" max="16" width="13.4648437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 "Arabica", IF(I2="Lib","Liberica",""))))</f>
        <v>Robusta</v>
      </c>
      <c r="O2" t="str">
        <f>IF(J2="M", "Medium", IF(J2="L", "Light",IF(J2="D", "Dark","")))</f>
        <v>Medium</v>
      </c>
      <c r="P2" t="str">
        <f>_xlfn.XLOOKUP(Orders[[#This Row],[Customer ID]],customers!$A$1:$A$1001,customers!$I$1:$I$1001,,0)</f>
        <v>Yes</v>
      </c>
    </row>
    <row r="3" spans="1:16" x14ac:dyDescent="0.4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 "Arabica", IF(I3="Lib","Liberica",""))))</f>
        <v>Excelsa</v>
      </c>
      <c r="O3" t="str">
        <f t="shared" ref="O3:O66" si="2">IF(J3="M", "Medium", IF(J3="L", "Light",IF(J3="D", "Dark","")))</f>
        <v>Medium</v>
      </c>
      <c r="P3" t="str">
        <f>_xlfn.XLOOKUP(Orders[[#This Row],[Customer ID]],customers!$A$1:$A$1001,customers!$I$1:$I$1001,,0)</f>
        <v>Yes</v>
      </c>
    </row>
    <row r="4" spans="1:16" x14ac:dyDescent="0.4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 "Arabica", IF(I67="Lib","Liberica",""))))</f>
        <v>Robusta</v>
      </c>
      <c r="O67" t="str">
        <f t="shared" ref="O67:O130" si="5">IF(J67="M", "Medium", IF(J67="L", "Light",IF(J67="D", "Dark","")))</f>
        <v>Dark</v>
      </c>
      <c r="P67" t="str">
        <f>_xlfn.XLOOKUP(Orders[[#This Row],[Customer ID]],customers!$A$1:$A$1001,customers!$I$1:$I$1001,,0)</f>
        <v>Yes</v>
      </c>
    </row>
    <row r="68" spans="1:16" x14ac:dyDescent="0.4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 "Arabica", IF(I131="Lib","Liberica",""))))</f>
        <v>Excelsa</v>
      </c>
      <c r="O131" t="str">
        <f t="shared" ref="O131:O194" si="8">IF(J131="M", "Medium", IF(J131="L", "Light",IF(J131="D", "Dark","")))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 "Arabica", IF(I195="Lib","Liberica",""))))</f>
        <v>Excelsa</v>
      </c>
      <c r="O195" t="str">
        <f t="shared" ref="O195:O258" si="11">IF(J195="M", "Medium", IF(J195="L", "Light",IF(J195="D", "Dark","")))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 "Arabica", IF(I259="Lib","Liberica",""))))</f>
        <v>Excelsa</v>
      </c>
      <c r="O259" t="str">
        <f t="shared" ref="O259:O322" si="14">IF(J259="M", "Medium", IF(J259="L", "Light",IF(J259="D", "Dark","")))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 "Arabica", IF(I323="Lib","Liberica",""))))</f>
        <v>Arabica</v>
      </c>
      <c r="O323" t="str">
        <f t="shared" ref="O323:O386" si="17">IF(J323="M", "Medium", IF(J323="L", "Light",IF(J323="D", "Dark","")))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 "Arabica", IF(I387="Lib","Liberica",""))))</f>
        <v>Liberica</v>
      </c>
      <c r="O387" t="str">
        <f t="shared" ref="O387:O450" si="20">IF(J387="M", "Medium", IF(J387="L", "Light",IF(J387="D", "Dark","")))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 "Arabica", IF(I451="Lib","Liberica",""))))</f>
        <v>Robusta</v>
      </c>
      <c r="O451" t="str">
        <f t="shared" ref="O451:O514" si="23">IF(J451="M", "Medium", IF(J451="L", "Light",IF(J451="D", "Dark","")))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 "Arabica", IF(I515="Lib","Liberica",""))))</f>
        <v>Liberica</v>
      </c>
      <c r="O515" t="str">
        <f t="shared" ref="O515:O578" si="26">IF(J515="M", "Medium", IF(J515="L", "Light",IF(J515="D", "Dark","")))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 "Arabica", IF(I579="Lib","Liberica",""))))</f>
        <v>Liberica</v>
      </c>
      <c r="O579" t="str">
        <f t="shared" ref="O579:O642" si="29">IF(J579="M", "Medium", IF(J579="L", "Light",IF(J579="D", "Dark","")))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 "Arabica", IF(I643="Lib","Liberica",""))))</f>
        <v>Robusta</v>
      </c>
      <c r="O643" t="str">
        <f t="shared" ref="O643:O706" si="32">IF(J643="M", "Medium", IF(J643="L", "Light",IF(J643="D", "Dark","")))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 "Arabica", IF(I707="Lib","Liberica",""))))</f>
        <v>Excelsa</v>
      </c>
      <c r="O707" t="str">
        <f t="shared" ref="O707:O770" si="35">IF(J707="M", "Medium", IF(J707="L", "Light",IF(J707="D", "Dark","")))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 "Arabica", IF(I771="Lib","Liberica",""))))</f>
        <v>Robusta</v>
      </c>
      <c r="O771" t="str">
        <f t="shared" ref="O771:O834" si="38">IF(J771="M", "Medium", IF(J771="L", "Light",IF(J771="D", "Dark","")))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 "Arabica", IF(I835="Lib","Liberica",""))))</f>
        <v>Robusta</v>
      </c>
      <c r="O835" t="str">
        <f t="shared" ref="O835:O898" si="41">IF(J835="M", "Medium", IF(J835="L", "Light",IF(J835="D", "Dark","")))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 "Arabica", IF(I899="Lib","Liberica",""))))</f>
        <v>Excelsa</v>
      </c>
      <c r="O899" t="str">
        <f t="shared" ref="O899:O962" si="44">IF(J899="M", "Medium", IF(J899="L", "Light",IF(J899="D", "Dark","")))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 "Arabica", IF(I963="Lib","Liberica",""))))</f>
        <v>Arabica</v>
      </c>
      <c r="O963" t="str">
        <f t="shared" ref="O963:O1001" si="47">IF(J963="M", "Medium", IF(J963="L", "Light",IF(J963="D", "Dark","")))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0" workbookViewId="0">
      <selection activeCell="B1" sqref="B1"/>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Leman Memmedli</cp:lastModifiedBy>
  <cp:revision/>
  <dcterms:created xsi:type="dcterms:W3CDTF">2022-11-26T09:51:45Z</dcterms:created>
  <dcterms:modified xsi:type="dcterms:W3CDTF">2025-11-26T21:34:58Z</dcterms:modified>
  <cp:category/>
  <cp:contentStatus/>
</cp:coreProperties>
</file>